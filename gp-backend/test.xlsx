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للقراءة KG &amp; 1st" sheetId="1" r:id="rId5"/>
    <sheet state="visible" name="للحساب KG &amp; 1st" sheetId="2" r:id="rId6"/>
    <sheet state="visible" name="للقراءة 2nd &amp; 3rd" sheetId="3" r:id="rId7"/>
    <sheet state="visible" name=" للحساب 2nd &amp; 3rd" sheetId="4" r:id="rId8"/>
  </sheets>
  <definedNames/>
  <calcPr/>
</workbook>
</file>

<file path=xl/sharedStrings.xml><?xml version="1.0" encoding="utf-8"?>
<sst xmlns="http://schemas.openxmlformats.org/spreadsheetml/2006/main" count="86" uniqueCount="49">
  <si>
    <t>الرقم المتسلسل</t>
  </si>
  <si>
    <t>اسم الطالب</t>
  </si>
  <si>
    <t>الوعيّ الصوتيّ
[6]</t>
  </si>
  <si>
    <t>قراءة أصوات الحروف
[8]</t>
  </si>
  <si>
    <t>الكتابة
[4]</t>
  </si>
  <si>
    <t>المجموع الكلي %</t>
  </si>
  <si>
    <t>or doing</t>
  </si>
  <si>
    <t>نسبة امتلاك المهارة لدى الطلبة</t>
  </si>
  <si>
    <t>مهارات العد
[9]</t>
  </si>
  <si>
    <t>مهارات التلاعب بالأعداد
[5]</t>
  </si>
  <si>
    <t>مهارات حل المسائل
[4]</t>
  </si>
  <si>
    <t>الوعيّ الصوتيّ
[1]</t>
  </si>
  <si>
    <t>قراءة أصوات الحروف
[7]</t>
  </si>
  <si>
    <t>المفردات
[8]</t>
  </si>
  <si>
    <t>الاستيعاب القرائيّ
[3]</t>
  </si>
  <si>
    <t>الكتابة
[6]</t>
  </si>
  <si>
    <t>أوس عبد الحميد شفيق غزال</t>
  </si>
  <si>
    <t>اسامه عادل شفيق غزال</t>
  </si>
  <si>
    <t>حلا محمد فرحان المعايطه</t>
  </si>
  <si>
    <t>اياد محمد احمد شريم</t>
  </si>
  <si>
    <t>تولاي عصام حمدان الجبور</t>
  </si>
  <si>
    <t>جوري سائد محمد مقدادي</t>
  </si>
  <si>
    <t>تولين سليمان عبدالله الزواهره</t>
  </si>
  <si>
    <t>سوار احمد صالح فشافشه</t>
  </si>
  <si>
    <t>جوري خالد محمد الغويري</t>
  </si>
  <si>
    <t>جوري عبد العزيز احمد ضمره</t>
  </si>
  <si>
    <t>جيلان محمد فارس ابو هنية</t>
  </si>
  <si>
    <t>ميمونه محمد يحيى ابوعيشة</t>
  </si>
  <si>
    <t>اوس احمد سليمان الزواهره</t>
  </si>
  <si>
    <t>خالد سعود علي الزواهره</t>
  </si>
  <si>
    <t>ديمه عايد نمر سالم</t>
  </si>
  <si>
    <t>رهف محمد أمين ابراهيم الحاجي</t>
  </si>
  <si>
    <t>ايلين بسام عمر بدران</t>
  </si>
  <si>
    <t>سيف الدين محمد نايف الزواهره</t>
  </si>
  <si>
    <t>صهيب ثامر هلال الزواهره</t>
  </si>
  <si>
    <t>وديع جمعه رباح العوضي</t>
  </si>
  <si>
    <t>فرح سلامة عليان العبد الله</t>
  </si>
  <si>
    <t>وليد محمد صالح القضاه</t>
  </si>
  <si>
    <t>حبيب امجد سلامه الزواهره</t>
  </si>
  <si>
    <t>نوال احمد محمد الزواهره</t>
  </si>
  <si>
    <t>عبدالله فرحان عبدالله الزواهره</t>
  </si>
  <si>
    <t xml:space="preserve"> انابيلا القصاص </t>
  </si>
  <si>
    <t>وسام عبدالله مصلح الهويمل</t>
  </si>
  <si>
    <t>مسك غسان حسني خلف</t>
  </si>
  <si>
    <t>نسبة امتلاك الطلبة للمهارة</t>
  </si>
  <si>
    <t>مهارات العد
[5]</t>
  </si>
  <si>
    <t>مهارات التلاعب بالأعداد
[12]</t>
  </si>
  <si>
    <t>مهارات حل المسائل
[7]</t>
  </si>
  <si>
    <t>المجموع الكلي
[%]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</si>
</sst>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000000"/>
      <name val="Arial"/>
    </font>
    <font>
      <color theme="1"/>
      <name val="Calibri"/>
      <scheme val="minor"/>
    </font>
    <font>
      <sz val="11.0"/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sz val="11.0"/>
      <color rgb="FF000000"/>
      <name val="Arial"/>
    </font>
    <font>
      <b/>
      <sz val="11.0"/>
      <color theme="0"/>
      <name val="Arial"/>
    </font>
    <font>
      <color theme="1"/>
      <name val="Arial"/>
    </font>
    <font>
      <sz val="11.0"/>
      <color rgb="FF000000"/>
      <name val="Arial"/>
    </font>
    <font>
      <b/>
      <sz val="11.0"/>
      <color theme="0"/>
      <name val="Calibri"/>
    </font>
    <font>
      <b/>
      <sz val="16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textRotation="135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Font="1"/>
    <xf borderId="0" fillId="0" fontId="3" numFmtId="0" xfId="0" applyAlignment="1" applyFont="1">
      <alignment horizontal="right" readingOrder="2" vertical="center"/>
    </xf>
    <xf borderId="0" fillId="0" fontId="4" numFmtId="0" xfId="0" applyAlignment="1" applyFont="1">
      <alignment horizontal="center"/>
    </xf>
    <xf borderId="0" fillId="0" fontId="5" numFmtId="9" xfId="0" applyAlignment="1" applyFont="1" applyNumberFormat="1">
      <alignment horizontal="center"/>
    </xf>
    <xf borderId="0" fillId="0" fontId="6" numFmtId="0" xfId="0" applyAlignment="1" applyFont="1">
      <alignment readingOrder="0"/>
    </xf>
    <xf borderId="0" fillId="0" fontId="5" numFmtId="9" xfId="0" applyFont="1" applyNumberFormat="1"/>
    <xf borderId="0" fillId="0" fontId="4" numFmtId="0" xfId="0" applyFont="1"/>
    <xf borderId="1" fillId="0" fontId="7" numFmtId="0" xfId="0" applyAlignment="1" applyBorder="1" applyFont="1">
      <alignment horizontal="center" textRotation="135" vertical="center"/>
    </xf>
    <xf borderId="1" fillId="2" fontId="8" numFmtId="0" xfId="0" applyAlignment="1" applyBorder="1" applyFill="1" applyFont="1">
      <alignment horizontal="center" readingOrder="0"/>
    </xf>
    <xf borderId="1" fillId="2" fontId="8" numFmtId="0" xfId="0" applyAlignment="1" applyBorder="1" applyFont="1">
      <alignment horizontal="center" readingOrder="0" shrinkToFit="0" wrapText="1"/>
    </xf>
    <xf borderId="0" fillId="0" fontId="5" numFmtId="0" xfId="0" applyFont="1"/>
    <xf borderId="1" fillId="0" fontId="3" numFmtId="0" xfId="0" applyBorder="1" applyFont="1"/>
    <xf borderId="1" fillId="0" fontId="9" numFmtId="0" xfId="0" applyAlignment="1" applyBorder="1" applyFont="1">
      <alignment horizontal="right" shrinkToFit="0" wrapText="1"/>
    </xf>
    <xf borderId="1" fillId="0" fontId="10" numFmtId="0" xfId="0" applyAlignment="1" applyBorder="1" applyFont="1">
      <alignment horizontal="center" readingOrder="1" vertical="center"/>
    </xf>
    <xf borderId="1" fillId="0" fontId="10" numFmtId="0" xfId="0" applyAlignment="1" applyBorder="1" applyFont="1">
      <alignment horizontal="center" readingOrder="1" shrinkToFit="0" vertical="center" wrapText="1"/>
    </xf>
    <xf borderId="1" fillId="0" fontId="3" numFmtId="9" xfId="0" applyAlignment="1" applyBorder="1" applyFont="1" applyNumberFormat="1">
      <alignment horizontal="center"/>
    </xf>
    <xf borderId="1" fillId="0" fontId="9" numFmtId="0" xfId="0" applyAlignment="1" applyBorder="1" applyFont="1">
      <alignment horizontal="right" readingOrder="0" shrinkToFit="0" wrapText="1"/>
    </xf>
    <xf borderId="1" fillId="0" fontId="10" numFmtId="0" xfId="0" applyAlignment="1" applyBorder="1" applyFont="1">
      <alignment horizontal="center" readingOrder="1" shrinkToFit="0" vertical="center" wrapText="1"/>
    </xf>
    <xf borderId="1" fillId="3" fontId="3" numFmtId="9" xfId="0" applyAlignment="1" applyBorder="1" applyFill="1" applyFont="1" applyNumberFormat="1">
      <alignment horizontal="center"/>
    </xf>
    <xf borderId="0" fillId="0" fontId="5" numFmtId="0" xfId="0" applyAlignment="1" applyFont="1">
      <alignment readingOrder="0"/>
    </xf>
    <xf borderId="1" fillId="0" fontId="10" numFmtId="0" xfId="0" applyAlignment="1" applyBorder="1" applyFont="1">
      <alignment horizontal="center" readingOrder="1" vertical="center"/>
    </xf>
    <xf borderId="1" fillId="4" fontId="3" numFmtId="9" xfId="0" applyAlignment="1" applyBorder="1" applyFill="1" applyFont="1" applyNumberFormat="1">
      <alignment horizontal="center"/>
    </xf>
    <xf borderId="0" fillId="0" fontId="5" numFmtId="0" xfId="0" applyAlignment="1" applyFont="1">
      <alignment readingOrder="0"/>
    </xf>
    <xf borderId="1" fillId="5" fontId="3" numFmtId="9" xfId="0" applyAlignment="1" applyBorder="1" applyFill="1" applyFont="1" applyNumberFormat="1">
      <alignment horizontal="center"/>
    </xf>
    <xf borderId="1" fillId="0" fontId="3" numFmtId="0" xfId="0" applyAlignment="1" applyBorder="1" applyFont="1">
      <alignment readingOrder="0"/>
    </xf>
    <xf borderId="1" fillId="0" fontId="10" numFmtId="0" xfId="0" applyAlignment="1" applyBorder="1" applyFont="1">
      <alignment horizontal="right" readingOrder="1" shrinkToFit="0" vertical="center" wrapText="1"/>
    </xf>
    <xf borderId="1" fillId="0" fontId="9" numFmtId="0" xfId="0" applyAlignment="1" applyBorder="1" applyFont="1">
      <alignment horizontal="right" shrinkToFit="0" wrapText="1"/>
    </xf>
    <xf borderId="2" fillId="2" fontId="11" numFmtId="0" xfId="0" applyAlignment="1" applyBorder="1" applyFont="1">
      <alignment horizontal="right" readingOrder="0"/>
    </xf>
    <xf borderId="1" fillId="0" fontId="5" numFmtId="0" xfId="0" applyBorder="1" applyFont="1"/>
    <xf borderId="0" fillId="0" fontId="1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9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3" fontId="5" numFmtId="9" xfId="0" applyAlignment="1" applyBorder="1" applyFont="1" applyNumberFormat="1">
      <alignment horizontal="center"/>
    </xf>
    <xf borderId="1" fillId="4" fontId="5" numFmtId="9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71"/>
    <col customWidth="1" min="2" max="2" width="27.57"/>
    <col customWidth="1" min="3" max="6" width="19.14"/>
    <col customWidth="1" min="7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4.25" customHeight="1">
      <c r="A2" s="4">
        <v>1.0</v>
      </c>
      <c r="B2" s="5" t="s">
        <v>6</v>
      </c>
      <c r="C2" s="6"/>
      <c r="D2" s="6"/>
      <c r="E2" s="6"/>
      <c r="F2" s="7">
        <f t="shared" ref="F2:F26" si="1">SUM(C2:E2)/18</f>
        <v>0</v>
      </c>
    </row>
    <row r="3" ht="14.25" customHeight="1">
      <c r="A3" s="4">
        <v>2.0</v>
      </c>
      <c r="B3" s="5"/>
      <c r="C3" s="6"/>
      <c r="D3" s="6"/>
      <c r="E3" s="6"/>
      <c r="F3" s="7">
        <f t="shared" si="1"/>
        <v>0</v>
      </c>
    </row>
    <row r="4" ht="14.25" customHeight="1">
      <c r="A4" s="4">
        <v>3.0</v>
      </c>
      <c r="B4" s="5"/>
      <c r="C4" s="6"/>
      <c r="D4" s="6"/>
      <c r="E4" s="6"/>
      <c r="F4" s="7">
        <f t="shared" si="1"/>
        <v>0</v>
      </c>
    </row>
    <row r="5" ht="14.25" customHeight="1">
      <c r="A5" s="4">
        <v>4.0</v>
      </c>
      <c r="B5" s="5"/>
      <c r="C5" s="6"/>
      <c r="D5" s="6"/>
      <c r="E5" s="6"/>
      <c r="F5" s="7">
        <f t="shared" si="1"/>
        <v>0</v>
      </c>
    </row>
    <row r="6" ht="14.25" customHeight="1">
      <c r="A6" s="4">
        <v>5.0</v>
      </c>
      <c r="B6" s="5"/>
      <c r="C6" s="6"/>
      <c r="D6" s="6"/>
      <c r="E6" s="6"/>
      <c r="F6" s="7">
        <f t="shared" si="1"/>
        <v>0</v>
      </c>
    </row>
    <row r="7" ht="14.25" customHeight="1">
      <c r="A7" s="4">
        <v>6.0</v>
      </c>
      <c r="B7" s="5"/>
      <c r="C7" s="6"/>
      <c r="D7" s="6"/>
      <c r="E7" s="6"/>
      <c r="F7" s="7">
        <f t="shared" si="1"/>
        <v>0</v>
      </c>
    </row>
    <row r="8" ht="14.25" customHeight="1">
      <c r="A8" s="4">
        <v>7.0</v>
      </c>
      <c r="B8" s="5"/>
      <c r="C8" s="6"/>
      <c r="D8" s="6"/>
      <c r="E8" s="6"/>
      <c r="F8" s="7">
        <f t="shared" si="1"/>
        <v>0</v>
      </c>
    </row>
    <row r="9" ht="14.25" customHeight="1">
      <c r="A9" s="4">
        <v>8.0</v>
      </c>
      <c r="B9" s="5"/>
      <c r="C9" s="6"/>
      <c r="D9" s="6"/>
      <c r="E9" s="6"/>
      <c r="F9" s="7">
        <f t="shared" si="1"/>
        <v>0</v>
      </c>
    </row>
    <row r="10" ht="14.25" customHeight="1">
      <c r="A10" s="4">
        <v>9.0</v>
      </c>
      <c r="B10" s="5"/>
      <c r="C10" s="6"/>
      <c r="D10" s="6"/>
      <c r="E10" s="6"/>
      <c r="F10" s="7">
        <f t="shared" si="1"/>
        <v>0</v>
      </c>
    </row>
    <row r="11" ht="14.25" customHeight="1">
      <c r="A11" s="4">
        <v>10.0</v>
      </c>
      <c r="B11" s="5"/>
      <c r="C11" s="6"/>
      <c r="D11" s="6"/>
      <c r="E11" s="6"/>
      <c r="F11" s="7">
        <f t="shared" si="1"/>
        <v>0</v>
      </c>
    </row>
    <row r="12" ht="14.25" customHeight="1">
      <c r="A12" s="4">
        <v>11.0</v>
      </c>
      <c r="B12" s="5"/>
      <c r="C12" s="6"/>
      <c r="D12" s="6"/>
      <c r="E12" s="6"/>
      <c r="F12" s="7">
        <f t="shared" si="1"/>
        <v>0</v>
      </c>
    </row>
    <row r="13" ht="14.25" customHeight="1">
      <c r="A13" s="4">
        <v>12.0</v>
      </c>
      <c r="B13" s="5"/>
      <c r="C13" s="6"/>
      <c r="D13" s="6"/>
      <c r="E13" s="6"/>
      <c r="F13" s="7">
        <f t="shared" si="1"/>
        <v>0</v>
      </c>
    </row>
    <row r="14" ht="14.25" customHeight="1">
      <c r="A14" s="4">
        <v>13.0</v>
      </c>
      <c r="B14" s="5"/>
      <c r="C14" s="6"/>
      <c r="D14" s="6"/>
      <c r="E14" s="6"/>
      <c r="F14" s="7">
        <f t="shared" si="1"/>
        <v>0</v>
      </c>
    </row>
    <row r="15" ht="14.25" customHeight="1">
      <c r="A15" s="4">
        <v>14.0</v>
      </c>
      <c r="B15" s="5"/>
      <c r="C15" s="6"/>
      <c r="D15" s="6"/>
      <c r="E15" s="6"/>
      <c r="F15" s="7">
        <f t="shared" si="1"/>
        <v>0</v>
      </c>
    </row>
    <row r="16" ht="14.25" customHeight="1">
      <c r="A16" s="4">
        <v>15.0</v>
      </c>
      <c r="B16" s="5"/>
      <c r="C16" s="6"/>
      <c r="D16" s="6"/>
      <c r="E16" s="6"/>
      <c r="F16" s="7">
        <f t="shared" si="1"/>
        <v>0</v>
      </c>
    </row>
    <row r="17" ht="14.25" customHeight="1">
      <c r="A17" s="4">
        <v>16.0</v>
      </c>
      <c r="B17" s="5"/>
      <c r="C17" s="6"/>
      <c r="D17" s="6"/>
      <c r="E17" s="6"/>
      <c r="F17" s="7">
        <f t="shared" si="1"/>
        <v>0</v>
      </c>
    </row>
    <row r="18" ht="14.25" customHeight="1">
      <c r="A18" s="4">
        <v>17.0</v>
      </c>
      <c r="B18" s="5"/>
      <c r="C18" s="6"/>
      <c r="D18" s="6"/>
      <c r="E18" s="6"/>
      <c r="F18" s="7">
        <f t="shared" si="1"/>
        <v>0</v>
      </c>
    </row>
    <row r="19" ht="14.25" customHeight="1">
      <c r="A19" s="4">
        <v>18.0</v>
      </c>
      <c r="B19" s="5"/>
      <c r="C19" s="6"/>
      <c r="D19" s="6"/>
      <c r="E19" s="6"/>
      <c r="F19" s="7">
        <f t="shared" si="1"/>
        <v>0</v>
      </c>
    </row>
    <row r="20" ht="14.25" customHeight="1">
      <c r="A20" s="4">
        <v>19.0</v>
      </c>
      <c r="B20" s="5"/>
      <c r="C20" s="6"/>
      <c r="D20" s="6"/>
      <c r="E20" s="6"/>
      <c r="F20" s="7">
        <f t="shared" si="1"/>
        <v>0</v>
      </c>
    </row>
    <row r="21" ht="14.25" customHeight="1">
      <c r="A21" s="4">
        <v>20.0</v>
      </c>
      <c r="B21" s="5"/>
      <c r="C21" s="6"/>
      <c r="D21" s="6"/>
      <c r="E21" s="6"/>
      <c r="F21" s="7">
        <f t="shared" si="1"/>
        <v>0</v>
      </c>
    </row>
    <row r="22" ht="14.25" customHeight="1">
      <c r="A22" s="4">
        <v>21.0</v>
      </c>
      <c r="B22" s="5"/>
      <c r="C22" s="6"/>
      <c r="D22" s="6"/>
      <c r="E22" s="6"/>
      <c r="F22" s="7">
        <f t="shared" si="1"/>
        <v>0</v>
      </c>
    </row>
    <row r="23" ht="14.25" customHeight="1">
      <c r="A23" s="4">
        <v>22.0</v>
      </c>
      <c r="B23" s="5"/>
      <c r="C23" s="6"/>
      <c r="D23" s="6"/>
      <c r="E23" s="6"/>
      <c r="F23" s="7">
        <f t="shared" si="1"/>
        <v>0</v>
      </c>
    </row>
    <row r="24" ht="14.25" customHeight="1">
      <c r="A24" s="4">
        <v>23.0</v>
      </c>
      <c r="B24" s="5"/>
      <c r="C24" s="6"/>
      <c r="D24" s="6"/>
      <c r="E24" s="6"/>
      <c r="F24" s="7">
        <f t="shared" si="1"/>
        <v>0</v>
      </c>
    </row>
    <row r="25" ht="14.25" customHeight="1">
      <c r="A25" s="4">
        <v>24.0</v>
      </c>
      <c r="B25" s="5"/>
      <c r="C25" s="6"/>
      <c r="D25" s="6"/>
      <c r="E25" s="6"/>
      <c r="F25" s="7">
        <f t="shared" si="1"/>
        <v>0</v>
      </c>
    </row>
    <row r="26" ht="14.25" customHeight="1">
      <c r="A26" s="4">
        <v>25.0</v>
      </c>
      <c r="B26" s="5"/>
      <c r="C26" s="6"/>
      <c r="D26" s="6"/>
      <c r="E26" s="6"/>
      <c r="F26" s="7">
        <f t="shared" si="1"/>
        <v>0</v>
      </c>
    </row>
    <row r="27" ht="14.25" customHeight="1">
      <c r="B27" s="8" t="s">
        <v>7</v>
      </c>
      <c r="C27" s="9" t="str">
        <f>AVERAGE(C2:C26)/6</f>
        <v>#DIV/0!</v>
      </c>
      <c r="D27" s="9" t="str">
        <f>AVERAGE(D2:D26)/8</f>
        <v>#DIV/0!</v>
      </c>
      <c r="E27" s="9" t="str">
        <f>AVERAGE(E2:E26)/4</f>
        <v>#DIV/0!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27:E27">
    <cfRule type="cellIs" dxfId="0" priority="1" operator="lessThan">
      <formula>0.8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71"/>
    <col customWidth="1" min="2" max="2" width="27.57"/>
    <col customWidth="1" min="3" max="6" width="19.14"/>
    <col customWidth="1" min="7" max="26" width="8.71"/>
  </cols>
  <sheetData>
    <row r="1" ht="14.25" customHeight="1">
      <c r="A1" s="1" t="s">
        <v>0</v>
      </c>
      <c r="B1" s="2" t="s">
        <v>1</v>
      </c>
      <c r="C1" s="3" t="s">
        <v>8</v>
      </c>
      <c r="D1" s="3" t="s">
        <v>9</v>
      </c>
      <c r="E1" s="3" t="s">
        <v>10</v>
      </c>
      <c r="F1" s="3" t="s">
        <v>5</v>
      </c>
    </row>
    <row r="2" ht="14.25" customHeight="1">
      <c r="A2" s="4">
        <v>1.0</v>
      </c>
      <c r="B2" s="10"/>
      <c r="C2" s="10"/>
      <c r="D2" s="10"/>
      <c r="E2" s="10"/>
      <c r="F2" s="9">
        <f t="shared" ref="F2:F26" si="1">SUM(C2:E2)/18</f>
        <v>0</v>
      </c>
    </row>
    <row r="3" ht="14.25" customHeight="1">
      <c r="A3" s="4">
        <v>2.0</v>
      </c>
      <c r="B3" s="10"/>
      <c r="C3" s="10"/>
      <c r="D3" s="10"/>
      <c r="E3" s="10"/>
      <c r="F3" s="9">
        <f t="shared" si="1"/>
        <v>0</v>
      </c>
    </row>
    <row r="4" ht="14.25" customHeight="1">
      <c r="A4" s="4">
        <v>3.0</v>
      </c>
      <c r="B4" s="10"/>
      <c r="C4" s="10"/>
      <c r="D4" s="10"/>
      <c r="E4" s="10"/>
      <c r="F4" s="9">
        <f t="shared" si="1"/>
        <v>0</v>
      </c>
    </row>
    <row r="5" ht="14.25" customHeight="1">
      <c r="A5" s="4">
        <v>4.0</v>
      </c>
      <c r="B5" s="10"/>
      <c r="C5" s="10"/>
      <c r="D5" s="10"/>
      <c r="E5" s="10"/>
      <c r="F5" s="9">
        <f t="shared" si="1"/>
        <v>0</v>
      </c>
    </row>
    <row r="6" ht="14.25" customHeight="1">
      <c r="A6" s="4">
        <v>5.0</v>
      </c>
      <c r="B6" s="10"/>
      <c r="C6" s="10"/>
      <c r="D6" s="10"/>
      <c r="E6" s="10"/>
      <c r="F6" s="9">
        <f t="shared" si="1"/>
        <v>0</v>
      </c>
    </row>
    <row r="7" ht="14.25" customHeight="1">
      <c r="A7" s="4">
        <v>6.0</v>
      </c>
      <c r="B7" s="10"/>
      <c r="C7" s="10"/>
      <c r="D7" s="10"/>
      <c r="E7" s="10"/>
      <c r="F7" s="9">
        <f t="shared" si="1"/>
        <v>0</v>
      </c>
    </row>
    <row r="8" ht="14.25" customHeight="1">
      <c r="A8" s="4">
        <v>7.0</v>
      </c>
      <c r="B8" s="10"/>
      <c r="C8" s="10"/>
      <c r="D8" s="10"/>
      <c r="E8" s="10"/>
      <c r="F8" s="9">
        <f t="shared" si="1"/>
        <v>0</v>
      </c>
    </row>
    <row r="9" ht="14.25" customHeight="1">
      <c r="A9" s="4">
        <v>8.0</v>
      </c>
      <c r="B9" s="10"/>
      <c r="C9" s="10"/>
      <c r="D9" s="10"/>
      <c r="E9" s="10"/>
      <c r="F9" s="9">
        <f t="shared" si="1"/>
        <v>0</v>
      </c>
    </row>
    <row r="10" ht="14.25" customHeight="1">
      <c r="A10" s="4">
        <v>9.0</v>
      </c>
      <c r="B10" s="10"/>
      <c r="C10" s="10"/>
      <c r="D10" s="10"/>
      <c r="E10" s="10"/>
      <c r="F10" s="9">
        <f t="shared" si="1"/>
        <v>0</v>
      </c>
    </row>
    <row r="11" ht="14.25" customHeight="1">
      <c r="A11" s="4">
        <v>10.0</v>
      </c>
      <c r="B11" s="10"/>
      <c r="C11" s="10"/>
      <c r="D11" s="10"/>
      <c r="E11" s="10"/>
      <c r="F11" s="9">
        <f t="shared" si="1"/>
        <v>0</v>
      </c>
    </row>
    <row r="12" ht="14.25" customHeight="1">
      <c r="A12" s="4">
        <v>11.0</v>
      </c>
      <c r="B12" s="10"/>
      <c r="C12" s="10"/>
      <c r="D12" s="10"/>
      <c r="E12" s="10"/>
      <c r="F12" s="9">
        <f t="shared" si="1"/>
        <v>0</v>
      </c>
    </row>
    <row r="13" ht="14.25" customHeight="1">
      <c r="A13" s="4">
        <v>12.0</v>
      </c>
      <c r="B13" s="10"/>
      <c r="C13" s="10"/>
      <c r="D13" s="10"/>
      <c r="E13" s="10"/>
      <c r="F13" s="9">
        <f t="shared" si="1"/>
        <v>0</v>
      </c>
    </row>
    <row r="14" ht="14.25" customHeight="1">
      <c r="A14" s="4">
        <v>13.0</v>
      </c>
      <c r="B14" s="10"/>
      <c r="C14" s="10"/>
      <c r="D14" s="10"/>
      <c r="E14" s="10"/>
      <c r="F14" s="9">
        <f t="shared" si="1"/>
        <v>0</v>
      </c>
    </row>
    <row r="15" ht="14.25" customHeight="1">
      <c r="A15" s="4">
        <v>14.0</v>
      </c>
      <c r="B15" s="10"/>
      <c r="C15" s="10"/>
      <c r="D15" s="10"/>
      <c r="E15" s="10"/>
      <c r="F15" s="9">
        <f t="shared" si="1"/>
        <v>0</v>
      </c>
    </row>
    <row r="16" ht="14.25" customHeight="1">
      <c r="A16" s="4">
        <v>15.0</v>
      </c>
      <c r="B16" s="10"/>
      <c r="C16" s="10"/>
      <c r="D16" s="10"/>
      <c r="E16" s="10"/>
      <c r="F16" s="9">
        <f t="shared" si="1"/>
        <v>0</v>
      </c>
    </row>
    <row r="17" ht="14.25" customHeight="1">
      <c r="A17" s="4">
        <v>16.0</v>
      </c>
      <c r="B17" s="10"/>
      <c r="C17" s="10"/>
      <c r="D17" s="10"/>
      <c r="E17" s="10"/>
      <c r="F17" s="9">
        <f t="shared" si="1"/>
        <v>0</v>
      </c>
    </row>
    <row r="18" ht="14.25" customHeight="1">
      <c r="A18" s="4">
        <v>17.0</v>
      </c>
      <c r="B18" s="10"/>
      <c r="C18" s="10"/>
      <c r="D18" s="10"/>
      <c r="E18" s="10"/>
      <c r="F18" s="9">
        <f t="shared" si="1"/>
        <v>0</v>
      </c>
    </row>
    <row r="19" ht="14.25" customHeight="1">
      <c r="A19" s="4">
        <v>18.0</v>
      </c>
      <c r="B19" s="10"/>
      <c r="C19" s="10"/>
      <c r="D19" s="10"/>
      <c r="E19" s="10"/>
      <c r="F19" s="9">
        <f t="shared" si="1"/>
        <v>0</v>
      </c>
    </row>
    <row r="20" ht="14.25" customHeight="1">
      <c r="A20" s="4">
        <v>19.0</v>
      </c>
      <c r="B20" s="10"/>
      <c r="C20" s="10"/>
      <c r="D20" s="10"/>
      <c r="E20" s="10"/>
      <c r="F20" s="9">
        <f t="shared" si="1"/>
        <v>0</v>
      </c>
    </row>
    <row r="21" ht="14.25" customHeight="1">
      <c r="A21" s="4">
        <v>20.0</v>
      </c>
      <c r="B21" s="10"/>
      <c r="C21" s="10"/>
      <c r="D21" s="10"/>
      <c r="E21" s="10"/>
      <c r="F21" s="9">
        <f t="shared" si="1"/>
        <v>0</v>
      </c>
    </row>
    <row r="22" ht="14.25" customHeight="1">
      <c r="A22" s="4">
        <v>21.0</v>
      </c>
      <c r="B22" s="10"/>
      <c r="C22" s="10"/>
      <c r="D22" s="10"/>
      <c r="E22" s="10"/>
      <c r="F22" s="9">
        <f t="shared" si="1"/>
        <v>0</v>
      </c>
    </row>
    <row r="23" ht="14.25" customHeight="1">
      <c r="A23" s="4">
        <v>22.0</v>
      </c>
      <c r="B23" s="10"/>
      <c r="C23" s="10"/>
      <c r="D23" s="10"/>
      <c r="E23" s="10"/>
      <c r="F23" s="9">
        <f t="shared" si="1"/>
        <v>0</v>
      </c>
    </row>
    <row r="24" ht="14.25" customHeight="1">
      <c r="A24" s="4">
        <v>23.0</v>
      </c>
      <c r="B24" s="10"/>
      <c r="C24" s="10"/>
      <c r="D24" s="10"/>
      <c r="E24" s="10"/>
      <c r="F24" s="9">
        <f t="shared" si="1"/>
        <v>0</v>
      </c>
    </row>
    <row r="25" ht="14.25" customHeight="1">
      <c r="A25" s="4">
        <v>24.0</v>
      </c>
      <c r="B25" s="10"/>
      <c r="C25" s="10"/>
      <c r="D25" s="10"/>
      <c r="E25" s="10"/>
      <c r="F25" s="9">
        <f t="shared" si="1"/>
        <v>0</v>
      </c>
    </row>
    <row r="26" ht="14.25" customHeight="1">
      <c r="A26" s="4">
        <v>25.0</v>
      </c>
      <c r="B26" s="10"/>
      <c r="C26" s="10"/>
      <c r="D26" s="10"/>
      <c r="E26" s="10"/>
      <c r="F26" s="9">
        <f t="shared" si="1"/>
        <v>0</v>
      </c>
    </row>
    <row r="27" ht="14.25" customHeight="1">
      <c r="B27" s="8" t="s">
        <v>7</v>
      </c>
      <c r="C27" s="9" t="str">
        <f>AVERAGE(C2:C26)/9</f>
        <v>#DIV/0!</v>
      </c>
      <c r="D27" s="9" t="str">
        <f>AVERAGE(D2:D26)/5</f>
        <v>#DIV/0!</v>
      </c>
      <c r="E27" s="9" t="str">
        <f>AVERAGE(E2:E26)/4</f>
        <v>#DIV/0!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27:E27">
    <cfRule type="cellIs" dxfId="0" priority="1" operator="lessThan">
      <formula>0.8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.29"/>
    <col customWidth="1" min="2" max="2" width="27.71"/>
    <col customWidth="1" min="3" max="7" width="17.86"/>
    <col customWidth="1" min="8" max="8" width="13.71"/>
    <col customWidth="1" min="9" max="26" width="9.29"/>
  </cols>
  <sheetData>
    <row r="1" ht="14.25" customHeight="1">
      <c r="A1" s="11"/>
      <c r="B1" s="12" t="s">
        <v>1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5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8.0" customHeight="1">
      <c r="A2" s="15">
        <v>1.0</v>
      </c>
      <c r="B2" s="16" t="s">
        <v>16</v>
      </c>
      <c r="C2" s="17">
        <v>1.0</v>
      </c>
      <c r="D2" s="18">
        <v>7.0</v>
      </c>
      <c r="E2" s="18">
        <v>7.0</v>
      </c>
      <c r="F2" s="17">
        <v>3.0</v>
      </c>
      <c r="G2" s="17">
        <v>4.0</v>
      </c>
      <c r="H2" s="19">
        <f t="shared" ref="H2:H29" si="1">SUM(C2:G2)/25</f>
        <v>0.88</v>
      </c>
      <c r="I2" s="14"/>
      <c r="J2" s="9"/>
      <c r="K2" s="9"/>
      <c r="L2" s="9"/>
      <c r="M2" s="9"/>
      <c r="N2" s="9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8.0" customHeight="1">
      <c r="A3" s="15">
        <v>2.0</v>
      </c>
      <c r="B3" s="16" t="s">
        <v>17</v>
      </c>
      <c r="C3" s="17">
        <v>1.0</v>
      </c>
      <c r="D3" s="18">
        <v>6.0</v>
      </c>
      <c r="E3" s="18">
        <v>5.0</v>
      </c>
      <c r="F3" s="17">
        <v>3.0</v>
      </c>
      <c r="G3" s="17">
        <v>4.0</v>
      </c>
      <c r="H3" s="19">
        <f t="shared" si="1"/>
        <v>0.76</v>
      </c>
      <c r="I3" s="14"/>
      <c r="J3" s="9"/>
      <c r="K3" s="9"/>
      <c r="L3" s="9"/>
      <c r="M3" s="9"/>
      <c r="N3" s="9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8.0" customHeight="1">
      <c r="A4" s="15">
        <v>3.0</v>
      </c>
      <c r="B4" s="20" t="s">
        <v>18</v>
      </c>
      <c r="C4" s="17">
        <v>1.0</v>
      </c>
      <c r="D4" s="18">
        <v>7.0</v>
      </c>
      <c r="E4" s="18">
        <v>7.0</v>
      </c>
      <c r="F4" s="17">
        <v>3.0</v>
      </c>
      <c r="G4" s="17">
        <v>5.0</v>
      </c>
      <c r="H4" s="19">
        <f t="shared" si="1"/>
        <v>0.92</v>
      </c>
      <c r="I4" s="14"/>
      <c r="J4" s="9"/>
      <c r="K4" s="9"/>
      <c r="L4" s="9"/>
      <c r="M4" s="9"/>
      <c r="N4" s="9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8.0" customHeight="1">
      <c r="A5" s="15">
        <v>4.0</v>
      </c>
      <c r="B5" s="16" t="s">
        <v>19</v>
      </c>
      <c r="C5" s="17">
        <v>1.0</v>
      </c>
      <c r="D5" s="18">
        <v>5.0</v>
      </c>
      <c r="E5" s="18">
        <v>4.0</v>
      </c>
      <c r="F5" s="17">
        <v>2.0</v>
      </c>
      <c r="G5" s="17">
        <v>2.0</v>
      </c>
      <c r="H5" s="19">
        <f t="shared" si="1"/>
        <v>0.56</v>
      </c>
      <c r="I5" s="14"/>
      <c r="J5" s="9"/>
      <c r="K5" s="9"/>
      <c r="L5" s="9"/>
      <c r="M5" s="9"/>
      <c r="N5" s="9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8.0" customHeight="1">
      <c r="A6" s="15">
        <v>5.0</v>
      </c>
      <c r="B6" s="20" t="s">
        <v>20</v>
      </c>
      <c r="C6" s="17">
        <v>1.0</v>
      </c>
      <c r="D6" s="18">
        <v>6.0</v>
      </c>
      <c r="E6" s="18">
        <v>5.0</v>
      </c>
      <c r="F6" s="17">
        <v>2.0</v>
      </c>
      <c r="G6" s="17">
        <v>3.0</v>
      </c>
      <c r="H6" s="19">
        <f t="shared" si="1"/>
        <v>0.68</v>
      </c>
      <c r="I6" s="14"/>
      <c r="J6" s="9"/>
      <c r="K6" s="9"/>
      <c r="L6" s="9"/>
      <c r="M6" s="9"/>
      <c r="N6" s="9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8.0" customHeight="1">
      <c r="A7" s="15">
        <v>6.0</v>
      </c>
      <c r="B7" s="20" t="s">
        <v>21</v>
      </c>
      <c r="C7" s="17">
        <v>1.0</v>
      </c>
      <c r="D7" s="21">
        <v>3.0</v>
      </c>
      <c r="E7" s="18">
        <v>3.0</v>
      </c>
      <c r="F7" s="17">
        <v>1.0</v>
      </c>
      <c r="G7" s="17">
        <v>1.0</v>
      </c>
      <c r="H7" s="22">
        <f t="shared" si="1"/>
        <v>0.36</v>
      </c>
      <c r="I7" s="23"/>
      <c r="J7" s="9"/>
      <c r="K7" s="9"/>
      <c r="L7" s="9"/>
      <c r="M7" s="9"/>
      <c r="N7" s="9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8.0" customHeight="1">
      <c r="A8" s="15">
        <v>7.0</v>
      </c>
      <c r="B8" s="16" t="s">
        <v>22</v>
      </c>
      <c r="C8" s="17">
        <v>1.0</v>
      </c>
      <c r="D8" s="18">
        <v>7.0</v>
      </c>
      <c r="E8" s="18">
        <v>8.0</v>
      </c>
      <c r="F8" s="17">
        <v>3.0</v>
      </c>
      <c r="G8" s="17">
        <v>4.0</v>
      </c>
      <c r="H8" s="19">
        <f t="shared" si="1"/>
        <v>0.92</v>
      </c>
      <c r="I8" s="14"/>
      <c r="J8" s="9"/>
      <c r="K8" s="9"/>
      <c r="L8" s="9"/>
      <c r="M8" s="9"/>
      <c r="N8" s="9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8.0" customHeight="1">
      <c r="A9" s="15">
        <v>8.0</v>
      </c>
      <c r="B9" s="20" t="s">
        <v>23</v>
      </c>
      <c r="C9" s="17">
        <v>1.0</v>
      </c>
      <c r="D9" s="18">
        <v>4.0</v>
      </c>
      <c r="E9" s="18">
        <v>7.0</v>
      </c>
      <c r="F9" s="17">
        <v>2.0</v>
      </c>
      <c r="G9" s="17">
        <v>2.0</v>
      </c>
      <c r="H9" s="19">
        <f t="shared" si="1"/>
        <v>0.64</v>
      </c>
      <c r="I9" s="14"/>
      <c r="J9" s="9"/>
      <c r="K9" s="9"/>
      <c r="L9" s="23"/>
      <c r="M9" s="9"/>
      <c r="N9" s="23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6.5" customHeight="1">
      <c r="A10" s="15">
        <v>9.0</v>
      </c>
      <c r="B10" s="20" t="s">
        <v>24</v>
      </c>
      <c r="C10" s="17">
        <v>1.0</v>
      </c>
      <c r="D10" s="18">
        <v>6.0</v>
      </c>
      <c r="E10" s="18">
        <v>6.0</v>
      </c>
      <c r="F10" s="17">
        <v>3.0</v>
      </c>
      <c r="G10" s="17">
        <v>4.0</v>
      </c>
      <c r="H10" s="19">
        <f t="shared" si="1"/>
        <v>0.8</v>
      </c>
      <c r="I10" s="14"/>
      <c r="J10" s="9"/>
      <c r="K10" s="9"/>
      <c r="L10" s="9"/>
      <c r="M10" s="9"/>
      <c r="N10" s="9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.25" customHeight="1">
      <c r="A11" s="15">
        <v>10.0</v>
      </c>
      <c r="B11" s="16" t="s">
        <v>25</v>
      </c>
      <c r="C11" s="17">
        <v>1.0</v>
      </c>
      <c r="D11" s="21">
        <v>7.0</v>
      </c>
      <c r="E11" s="21">
        <v>6.0</v>
      </c>
      <c r="F11" s="24">
        <v>3.0</v>
      </c>
      <c r="G11" s="24">
        <v>5.0</v>
      </c>
      <c r="H11" s="19">
        <f t="shared" si="1"/>
        <v>0.88</v>
      </c>
      <c r="I11" s="14"/>
      <c r="J11" s="9"/>
      <c r="K11" s="9"/>
      <c r="L11" s="9"/>
      <c r="M11" s="9"/>
      <c r="N11" s="9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5">
        <v>11.0</v>
      </c>
      <c r="B12" s="16" t="s">
        <v>26</v>
      </c>
      <c r="C12" s="17">
        <v>1.0</v>
      </c>
      <c r="D12" s="18">
        <v>6.0</v>
      </c>
      <c r="E12" s="18">
        <v>5.0</v>
      </c>
      <c r="F12" s="17">
        <v>3.0</v>
      </c>
      <c r="G12" s="17">
        <v>3.0</v>
      </c>
      <c r="H12" s="19">
        <f t="shared" si="1"/>
        <v>0.72</v>
      </c>
      <c r="I12" s="14"/>
      <c r="J12" s="9"/>
      <c r="K12" s="9"/>
      <c r="L12" s="9"/>
      <c r="M12" s="9"/>
      <c r="N12" s="9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5">
        <v>12.0</v>
      </c>
      <c r="B13" s="20" t="s">
        <v>27</v>
      </c>
      <c r="C13" s="24">
        <v>1.0</v>
      </c>
      <c r="D13" s="21">
        <v>5.0</v>
      </c>
      <c r="E13" s="21">
        <v>4.0</v>
      </c>
      <c r="F13" s="24">
        <v>2.0</v>
      </c>
      <c r="G13" s="24">
        <v>3.0</v>
      </c>
      <c r="H13" s="25">
        <f t="shared" si="1"/>
        <v>0.6</v>
      </c>
      <c r="I13" s="26"/>
      <c r="J13" s="9"/>
      <c r="K13" s="9"/>
      <c r="L13" s="9"/>
      <c r="M13" s="9"/>
      <c r="N13" s="9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5">
        <v>13.0</v>
      </c>
      <c r="B14" s="20" t="s">
        <v>28</v>
      </c>
      <c r="C14" s="17">
        <v>1.0</v>
      </c>
      <c r="D14" s="21">
        <v>3.0</v>
      </c>
      <c r="E14" s="18">
        <v>2.0</v>
      </c>
      <c r="F14" s="17">
        <v>1.0</v>
      </c>
      <c r="G14" s="17">
        <v>1.0</v>
      </c>
      <c r="H14" s="22">
        <f t="shared" si="1"/>
        <v>0.32</v>
      </c>
      <c r="I14" s="14"/>
      <c r="J14" s="9"/>
      <c r="K14" s="9"/>
      <c r="L14" s="9"/>
      <c r="M14" s="9"/>
      <c r="N14" s="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4.25" customHeight="1">
      <c r="A15" s="15">
        <v>14.0</v>
      </c>
      <c r="B15" s="16" t="s">
        <v>29</v>
      </c>
      <c r="C15" s="17">
        <v>1.0</v>
      </c>
      <c r="D15" s="21">
        <v>6.0</v>
      </c>
      <c r="E15" s="21">
        <v>5.0</v>
      </c>
      <c r="F15" s="17">
        <v>3.0</v>
      </c>
      <c r="G15" s="24">
        <v>2.0</v>
      </c>
      <c r="H15" s="19">
        <f t="shared" si="1"/>
        <v>0.68</v>
      </c>
      <c r="I15" s="14"/>
      <c r="J15" s="9"/>
      <c r="K15" s="9"/>
      <c r="L15" s="9"/>
      <c r="M15" s="9"/>
      <c r="N15" s="9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5">
        <v>15.0</v>
      </c>
      <c r="B16" s="16" t="s">
        <v>30</v>
      </c>
      <c r="C16" s="17">
        <v>1.0</v>
      </c>
      <c r="D16" s="18">
        <v>7.0</v>
      </c>
      <c r="E16" s="18">
        <v>8.0</v>
      </c>
      <c r="F16" s="17">
        <v>3.0</v>
      </c>
      <c r="G16" s="17">
        <v>5.0</v>
      </c>
      <c r="H16" s="19">
        <f t="shared" si="1"/>
        <v>0.96</v>
      </c>
      <c r="I16" s="14"/>
      <c r="J16" s="9"/>
      <c r="K16" s="9"/>
      <c r="L16" s="9"/>
      <c r="M16" s="9"/>
      <c r="N16" s="9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4.25" customHeight="1">
      <c r="A17" s="15">
        <v>16.0</v>
      </c>
      <c r="B17" s="16" t="s">
        <v>31</v>
      </c>
      <c r="C17" s="17">
        <v>1.0</v>
      </c>
      <c r="D17" s="18">
        <v>5.0</v>
      </c>
      <c r="E17" s="21">
        <v>5.0</v>
      </c>
      <c r="F17" s="24">
        <v>2.0</v>
      </c>
      <c r="G17" s="24">
        <v>2.0</v>
      </c>
      <c r="H17" s="27">
        <f t="shared" si="1"/>
        <v>0.6</v>
      </c>
      <c r="I17" s="14"/>
      <c r="J17" s="9"/>
      <c r="K17" s="9"/>
      <c r="L17" s="9"/>
      <c r="M17" s="9"/>
      <c r="N17" s="23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5">
        <v>17.0</v>
      </c>
      <c r="B18" s="20" t="s">
        <v>32</v>
      </c>
      <c r="C18" s="17">
        <v>1.0</v>
      </c>
      <c r="D18" s="21">
        <v>3.0</v>
      </c>
      <c r="E18" s="18">
        <v>3.0</v>
      </c>
      <c r="F18" s="17">
        <v>1.0</v>
      </c>
      <c r="G18" s="24">
        <v>0.0</v>
      </c>
      <c r="H18" s="22">
        <f t="shared" si="1"/>
        <v>0.32</v>
      </c>
      <c r="I18" s="14"/>
      <c r="J18" s="9"/>
      <c r="K18" s="9"/>
      <c r="L18" s="9"/>
      <c r="M18" s="9"/>
      <c r="N18" s="9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4.25" customHeight="1">
      <c r="A19" s="15">
        <v>18.0</v>
      </c>
      <c r="B19" s="16" t="s">
        <v>33</v>
      </c>
      <c r="C19" s="17">
        <v>1.0</v>
      </c>
      <c r="D19" s="21">
        <v>7.0</v>
      </c>
      <c r="E19" s="21">
        <v>7.0</v>
      </c>
      <c r="F19" s="24">
        <v>3.0</v>
      </c>
      <c r="G19" s="24">
        <v>5.0</v>
      </c>
      <c r="H19" s="19">
        <f t="shared" si="1"/>
        <v>0.92</v>
      </c>
      <c r="I19" s="14"/>
      <c r="J19" s="9"/>
      <c r="K19" s="9"/>
      <c r="L19" s="9"/>
      <c r="M19" s="9"/>
      <c r="N19" s="9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5">
        <v>19.0</v>
      </c>
      <c r="B20" s="16" t="s">
        <v>34</v>
      </c>
      <c r="C20" s="17">
        <v>1.0</v>
      </c>
      <c r="D20" s="18">
        <v>6.0</v>
      </c>
      <c r="E20" s="18">
        <v>7.0</v>
      </c>
      <c r="F20" s="17">
        <v>3.0</v>
      </c>
      <c r="G20" s="17">
        <v>3.0</v>
      </c>
      <c r="H20" s="19">
        <f t="shared" si="1"/>
        <v>0.8</v>
      </c>
      <c r="I20" s="14"/>
      <c r="J20" s="9"/>
      <c r="K20" s="9"/>
      <c r="L20" s="9"/>
      <c r="M20" s="9"/>
      <c r="N20" s="9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4.25" customHeight="1">
      <c r="A21" s="15">
        <v>20.0</v>
      </c>
      <c r="B21" s="20" t="s">
        <v>35</v>
      </c>
      <c r="C21" s="17">
        <v>1.0</v>
      </c>
      <c r="D21" s="21">
        <v>4.0</v>
      </c>
      <c r="E21" s="18">
        <v>2.0</v>
      </c>
      <c r="F21" s="17">
        <v>2.0</v>
      </c>
      <c r="G21" s="24">
        <v>1.0</v>
      </c>
      <c r="H21" s="22">
        <f t="shared" si="1"/>
        <v>0.4</v>
      </c>
      <c r="I21" s="14"/>
      <c r="J21" s="9"/>
      <c r="K21" s="9"/>
      <c r="L21" s="9"/>
      <c r="M21" s="9"/>
      <c r="N21" s="9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5">
        <v>21.0</v>
      </c>
      <c r="B22" s="16" t="s">
        <v>36</v>
      </c>
      <c r="C22" s="17">
        <v>1.0</v>
      </c>
      <c r="D22" s="21">
        <v>7.0</v>
      </c>
      <c r="E22" s="18">
        <v>6.0</v>
      </c>
      <c r="F22" s="17">
        <v>3.0</v>
      </c>
      <c r="G22" s="24">
        <v>5.0</v>
      </c>
      <c r="H22" s="19">
        <f t="shared" si="1"/>
        <v>0.88</v>
      </c>
      <c r="I22" s="14"/>
      <c r="J22" s="9"/>
      <c r="K22" s="9"/>
      <c r="L22" s="9"/>
      <c r="M22" s="9"/>
      <c r="N22" s="9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4.25" customHeight="1">
      <c r="A23" s="15">
        <v>22.0</v>
      </c>
      <c r="B23" s="20" t="s">
        <v>37</v>
      </c>
      <c r="C23" s="17">
        <v>1.0</v>
      </c>
      <c r="D23" s="21">
        <v>6.0</v>
      </c>
      <c r="E23" s="21">
        <v>5.0</v>
      </c>
      <c r="F23" s="24">
        <v>2.0</v>
      </c>
      <c r="G23" s="24">
        <v>3.0</v>
      </c>
      <c r="H23" s="27">
        <f t="shared" si="1"/>
        <v>0.68</v>
      </c>
      <c r="I23" s="14"/>
      <c r="J23" s="9"/>
      <c r="K23" s="9"/>
      <c r="L23" s="9"/>
      <c r="M23" s="9"/>
      <c r="N23" s="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4.25" customHeight="1">
      <c r="A24" s="15">
        <v>23.0</v>
      </c>
      <c r="B24" s="20" t="s">
        <v>38</v>
      </c>
      <c r="C24" s="17">
        <v>1.0</v>
      </c>
      <c r="D24" s="18">
        <v>4.0</v>
      </c>
      <c r="E24" s="18">
        <v>1.0</v>
      </c>
      <c r="F24" s="17">
        <v>1.0</v>
      </c>
      <c r="G24" s="17">
        <v>1.0</v>
      </c>
      <c r="H24" s="22">
        <f t="shared" si="1"/>
        <v>0.32</v>
      </c>
      <c r="I24" s="26"/>
      <c r="J24" s="9"/>
      <c r="K24" s="9"/>
      <c r="L24" s="9"/>
      <c r="M24" s="9"/>
      <c r="N24" s="9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4.25" customHeight="1">
      <c r="A25" s="28">
        <v>24.0</v>
      </c>
      <c r="B25" s="16" t="s">
        <v>39</v>
      </c>
      <c r="C25" s="17">
        <v>1.0</v>
      </c>
      <c r="D25" s="18">
        <v>6.0</v>
      </c>
      <c r="E25" s="18">
        <v>6.0</v>
      </c>
      <c r="F25" s="17">
        <v>3.0</v>
      </c>
      <c r="G25" s="17">
        <v>5.0</v>
      </c>
      <c r="H25" s="19">
        <f t="shared" si="1"/>
        <v>0.84</v>
      </c>
      <c r="I25" s="14"/>
      <c r="J25" s="9"/>
      <c r="K25" s="9"/>
      <c r="L25" s="9"/>
      <c r="M25" s="9"/>
      <c r="N25" s="9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4.25" customHeight="1">
      <c r="A26" s="28">
        <v>25.0</v>
      </c>
      <c r="B26" s="20" t="s">
        <v>40</v>
      </c>
      <c r="C26" s="17">
        <v>1.0</v>
      </c>
      <c r="D26" s="18">
        <v>6.0</v>
      </c>
      <c r="E26" s="18">
        <v>5.0</v>
      </c>
      <c r="F26" s="17">
        <v>3.0</v>
      </c>
      <c r="G26" s="17">
        <v>3.0</v>
      </c>
      <c r="H26" s="19">
        <f t="shared" si="1"/>
        <v>0.72</v>
      </c>
      <c r="I26" s="14"/>
      <c r="J26" s="9"/>
      <c r="K26" s="9"/>
      <c r="L26" s="9"/>
      <c r="M26" s="9"/>
      <c r="N26" s="9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4.25" customHeight="1">
      <c r="A27" s="28">
        <v>26.0</v>
      </c>
      <c r="B27" s="29" t="s">
        <v>41</v>
      </c>
      <c r="C27" s="17">
        <v>1.0</v>
      </c>
      <c r="D27" s="18">
        <v>7.0</v>
      </c>
      <c r="E27" s="18">
        <v>8.0</v>
      </c>
      <c r="F27" s="17">
        <v>3.0</v>
      </c>
      <c r="G27" s="17">
        <v>5.0</v>
      </c>
      <c r="H27" s="19">
        <f t="shared" si="1"/>
        <v>0.96</v>
      </c>
      <c r="I27" s="14"/>
      <c r="J27" s="9"/>
      <c r="K27" s="9"/>
      <c r="L27" s="9"/>
      <c r="M27" s="9"/>
      <c r="N27" s="9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4.25" customHeight="1">
      <c r="A28" s="28">
        <v>27.0</v>
      </c>
      <c r="B28" s="30" t="s">
        <v>42</v>
      </c>
      <c r="C28" s="17">
        <v>1.0</v>
      </c>
      <c r="D28" s="18">
        <v>6.0</v>
      </c>
      <c r="E28" s="18">
        <v>5.0</v>
      </c>
      <c r="F28" s="17">
        <v>3.0</v>
      </c>
      <c r="G28" s="17">
        <v>3.0</v>
      </c>
      <c r="H28" s="19">
        <f t="shared" si="1"/>
        <v>0.72</v>
      </c>
      <c r="I28" s="14"/>
      <c r="J28" s="9"/>
      <c r="K28" s="9"/>
      <c r="L28" s="9"/>
      <c r="M28" s="9"/>
      <c r="N28" s="9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4.25" customHeight="1">
      <c r="A29" s="28">
        <v>28.0</v>
      </c>
      <c r="B29" s="20" t="s">
        <v>43</v>
      </c>
      <c r="C29" s="17">
        <v>1.0</v>
      </c>
      <c r="D29" s="18">
        <v>7.0</v>
      </c>
      <c r="E29" s="18">
        <v>8.0</v>
      </c>
      <c r="F29" s="17">
        <v>3.0</v>
      </c>
      <c r="G29" s="17">
        <v>5.0</v>
      </c>
      <c r="H29" s="19">
        <f t="shared" si="1"/>
        <v>0.96</v>
      </c>
      <c r="I29" s="14"/>
      <c r="J29" s="9"/>
      <c r="K29" s="9"/>
      <c r="L29" s="9"/>
      <c r="M29" s="9"/>
      <c r="N29" s="9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4.25" customHeight="1">
      <c r="A30" s="15"/>
      <c r="B30" s="31" t="s">
        <v>44</v>
      </c>
      <c r="C30" s="19">
        <f>AVERAGE(C2:C27)/1</f>
        <v>1</v>
      </c>
      <c r="D30" s="19">
        <f>AVERAGE(D2:D27)/7</f>
        <v>0.8021978022</v>
      </c>
      <c r="E30" s="19">
        <f>AVERAGE(E2:E27)/8</f>
        <v>0.6586538462</v>
      </c>
      <c r="F30" s="19">
        <f>AVERAGE(F2:F27)/3</f>
        <v>0.8076923077</v>
      </c>
      <c r="G30" s="19">
        <f>AVERAGE(G2:G27)/6</f>
        <v>0.5192307692</v>
      </c>
      <c r="H30" s="32"/>
      <c r="I30" s="14"/>
      <c r="J30" s="9"/>
      <c r="K30" s="9"/>
      <c r="L30" s="9"/>
      <c r="M30" s="9"/>
      <c r="N30" s="9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4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4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4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4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4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4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4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4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4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4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4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4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4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4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4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4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4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4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4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4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4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4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4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4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4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4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4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4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4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4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4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4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4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4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4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4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4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4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4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4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4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4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4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4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4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4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4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4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4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4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4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4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4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4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4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4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4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4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4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4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4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4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4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4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4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4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4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4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4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4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4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4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4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4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4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4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4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4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4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4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4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4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4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4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4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4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4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4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4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4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4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4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4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4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4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4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4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4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4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4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4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4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4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4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4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4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4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4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4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4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4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4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4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4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4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4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4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4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4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4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4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4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4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4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4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4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4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4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4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4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4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4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4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4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4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4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4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4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4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4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4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4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4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4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4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4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4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4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4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4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4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4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4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4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4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4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4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4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4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4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4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4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4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4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4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4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4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4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4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4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4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4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4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4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4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4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4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4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4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4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4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4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4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4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4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4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4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4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4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4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4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4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4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4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4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4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4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4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4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4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4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4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4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4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4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4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4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4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4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4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4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4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4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4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4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4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4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4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4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4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4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4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4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4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4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4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4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4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4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4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4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4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4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4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4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4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4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4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4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4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4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4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4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4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4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4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4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4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4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4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4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4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4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4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4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4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4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4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4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4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4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4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4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4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4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4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4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4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4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4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4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4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4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4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4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4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4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4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4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4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4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4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4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4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4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4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4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4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4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4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4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4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4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4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4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4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4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4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4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4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4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4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4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4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4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4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4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4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4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4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4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4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4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4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4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4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4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4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4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4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4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4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4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4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4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4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4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4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4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4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4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4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4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4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4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4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4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4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4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4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4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4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4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4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4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4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4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4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4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4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4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4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4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4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4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4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4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4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4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4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4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4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4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4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4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4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4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4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4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4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4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4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4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4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4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4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4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4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4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4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4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4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4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4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4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4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4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4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4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4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4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4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4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4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4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4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4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4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4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4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4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4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4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4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4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4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4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4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4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4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4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4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4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4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4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4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4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4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4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4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4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4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4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4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4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4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4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4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4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4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4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4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4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4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4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4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4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4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4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4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4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4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4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4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4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4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4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4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4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4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4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4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4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4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4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4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4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4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4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4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4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4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4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4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4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4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4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4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4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4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4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4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4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4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4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4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4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4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4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4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4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4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4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4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4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4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4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4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4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4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4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4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4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4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4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4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4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4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4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4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4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4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4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4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4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4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4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4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4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4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4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4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4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4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4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4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4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4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4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4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4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4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4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4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4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4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4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4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4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4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4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4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4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4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4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4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4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4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4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4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4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4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4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4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4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4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4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4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4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4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4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4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4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4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4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4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4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4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4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4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4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4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4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4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4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4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4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4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4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4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4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4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4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4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4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4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4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4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4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4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4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4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4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4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4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4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4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4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4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4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4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4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4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4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4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4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4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4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4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4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4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4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4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4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4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4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4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4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4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4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4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4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4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4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4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4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4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4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4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4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4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4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4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4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4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4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4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4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4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4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4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4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4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4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4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4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4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4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4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4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4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4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4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4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4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4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4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4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4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4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4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4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4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4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4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4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4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4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4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4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4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4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4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4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4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4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4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4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4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4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4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4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4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4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4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4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4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4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4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4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4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4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4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4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4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4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4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4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4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4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4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4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4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4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4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4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4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4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4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4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4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4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4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4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4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4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4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4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4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4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4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4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4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4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4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4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4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4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4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4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4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4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4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4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4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4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4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4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4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4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4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4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4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4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4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4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4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4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4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4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4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4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4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4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4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4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4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4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4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4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4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4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4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4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4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4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4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4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4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4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4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4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4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4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4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4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4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4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4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4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4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4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4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4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4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4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4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4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4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4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4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4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4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4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4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4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4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4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4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4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4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4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4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4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4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4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4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4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4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4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4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4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4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4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4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4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4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4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4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4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4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4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4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4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4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4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4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4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4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4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4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4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4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4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4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4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4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4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4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4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4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4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4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4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4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4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4.2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4.2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4.2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4.2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4.2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14.2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ht="14.2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</sheetData>
  <conditionalFormatting sqref="C30:G30">
    <cfRule type="cellIs" dxfId="0" priority="1" operator="lessThan">
      <formula>0.8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86"/>
    <col customWidth="1" min="2" max="2" width="26.43"/>
    <col customWidth="1" min="3" max="6" width="19.14"/>
    <col customWidth="1" min="7" max="26" width="8.86"/>
  </cols>
  <sheetData>
    <row r="1" ht="14.25" customHeight="1">
      <c r="A1" s="1" t="s">
        <v>0</v>
      </c>
      <c r="B1" s="2" t="s">
        <v>1</v>
      </c>
      <c r="C1" s="3" t="s">
        <v>45</v>
      </c>
      <c r="D1" s="3" t="s">
        <v>46</v>
      </c>
      <c r="E1" s="3" t="s">
        <v>47</v>
      </c>
      <c r="F1" s="33" t="s">
        <v>48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4.25" customHeight="1">
      <c r="A2" s="34">
        <v>1.0</v>
      </c>
      <c r="B2" s="16" t="s">
        <v>16</v>
      </c>
      <c r="C2" s="35">
        <v>3.0</v>
      </c>
      <c r="D2" s="35">
        <v>9.0</v>
      </c>
      <c r="E2" s="35">
        <v>5.0</v>
      </c>
      <c r="F2" s="36">
        <f t="shared" ref="F2:F29" si="1">SUM(C2:E2)/24</f>
        <v>0.7083333333</v>
      </c>
      <c r="G2" s="34"/>
      <c r="H2" s="34"/>
      <c r="I2" s="37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4.25" customHeight="1">
      <c r="A3" s="34">
        <v>2.0</v>
      </c>
      <c r="B3" s="16" t="s">
        <v>17</v>
      </c>
      <c r="C3" s="35">
        <v>4.0</v>
      </c>
      <c r="D3" s="35">
        <v>8.0</v>
      </c>
      <c r="E3" s="35">
        <v>5.0</v>
      </c>
      <c r="F3" s="36">
        <f t="shared" si="1"/>
        <v>0.7083333333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4.25" customHeight="1">
      <c r="A4" s="34">
        <v>3.0</v>
      </c>
      <c r="B4" s="20" t="s">
        <v>18</v>
      </c>
      <c r="C4" s="35">
        <v>5.0</v>
      </c>
      <c r="D4" s="38">
        <v>11.0</v>
      </c>
      <c r="E4" s="38">
        <v>6.0</v>
      </c>
      <c r="F4" s="36">
        <f t="shared" si="1"/>
        <v>0.9166666667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4.25" customHeight="1">
      <c r="A5" s="34">
        <v>4.0</v>
      </c>
      <c r="B5" s="16" t="s">
        <v>19</v>
      </c>
      <c r="C5" s="38">
        <v>4.0</v>
      </c>
      <c r="D5" s="38">
        <v>7.0</v>
      </c>
      <c r="E5" s="38">
        <v>5.0</v>
      </c>
      <c r="F5" s="36">
        <f t="shared" si="1"/>
        <v>0.6666666667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4.25" customHeight="1">
      <c r="A6" s="34">
        <v>5.0</v>
      </c>
      <c r="B6" s="20" t="s">
        <v>21</v>
      </c>
      <c r="C6" s="35">
        <v>1.0</v>
      </c>
      <c r="D6" s="35">
        <v>2.0</v>
      </c>
      <c r="E6" s="35">
        <v>1.0</v>
      </c>
      <c r="F6" s="39">
        <f t="shared" si="1"/>
        <v>0.1666666667</v>
      </c>
      <c r="G6" s="34"/>
      <c r="H6" s="34"/>
      <c r="I6" s="37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4.25" customHeight="1">
      <c r="A7" s="34">
        <v>6.0</v>
      </c>
      <c r="B7" s="16" t="s">
        <v>20</v>
      </c>
      <c r="C7" s="35">
        <v>3.0</v>
      </c>
      <c r="D7" s="35">
        <v>9.0</v>
      </c>
      <c r="E7" s="35">
        <v>5.0</v>
      </c>
      <c r="F7" s="36">
        <f t="shared" si="1"/>
        <v>0.7083333333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4.25" customHeight="1">
      <c r="A8" s="34">
        <v>7.0</v>
      </c>
      <c r="B8" s="16" t="s">
        <v>22</v>
      </c>
      <c r="C8" s="35">
        <v>4.0</v>
      </c>
      <c r="D8" s="35">
        <v>11.0</v>
      </c>
      <c r="E8" s="35">
        <v>7.0</v>
      </c>
      <c r="F8" s="36">
        <f t="shared" si="1"/>
        <v>0.9166666667</v>
      </c>
      <c r="G8" s="37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4.25" customHeight="1">
      <c r="A9" s="34">
        <v>8.0</v>
      </c>
      <c r="B9" s="20" t="s">
        <v>32</v>
      </c>
      <c r="C9" s="35">
        <v>1.0</v>
      </c>
      <c r="D9" s="35">
        <v>3.0</v>
      </c>
      <c r="E9" s="35">
        <v>1.0</v>
      </c>
      <c r="F9" s="39">
        <f t="shared" si="1"/>
        <v>0.2083333333</v>
      </c>
      <c r="G9" s="34"/>
      <c r="H9" s="34"/>
      <c r="I9" s="34"/>
      <c r="J9" s="37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4.25" customHeight="1">
      <c r="A10" s="34">
        <v>9.0</v>
      </c>
      <c r="B10" s="20" t="s">
        <v>24</v>
      </c>
      <c r="C10" s="35">
        <v>5.0</v>
      </c>
      <c r="D10" s="38">
        <v>9.0</v>
      </c>
      <c r="E10" s="35">
        <v>6.0</v>
      </c>
      <c r="F10" s="36">
        <f t="shared" si="1"/>
        <v>0.8333333333</v>
      </c>
      <c r="G10" s="34"/>
      <c r="H10" s="37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4.25" customHeight="1">
      <c r="A11" s="34">
        <v>10.0</v>
      </c>
      <c r="B11" s="16" t="s">
        <v>25</v>
      </c>
      <c r="C11" s="38">
        <v>5.0</v>
      </c>
      <c r="D11" s="38">
        <v>8.0</v>
      </c>
      <c r="E11" s="38">
        <v>5.0</v>
      </c>
      <c r="F11" s="36">
        <f t="shared" si="1"/>
        <v>0.75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4.25" customHeight="1">
      <c r="A12" s="34">
        <v>11.0</v>
      </c>
      <c r="B12" s="16" t="s">
        <v>26</v>
      </c>
      <c r="C12" s="35">
        <v>3.0</v>
      </c>
      <c r="D12" s="35">
        <v>10.0</v>
      </c>
      <c r="E12" s="35">
        <v>5.0</v>
      </c>
      <c r="F12" s="36">
        <f t="shared" si="1"/>
        <v>0.75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4.25" customHeight="1">
      <c r="A13" s="34">
        <v>12.0</v>
      </c>
      <c r="B13" s="20" t="s">
        <v>27</v>
      </c>
      <c r="C13" s="38">
        <v>3.0</v>
      </c>
      <c r="D13" s="38">
        <v>10.0</v>
      </c>
      <c r="E13" s="38">
        <v>4.0</v>
      </c>
      <c r="F13" s="40">
        <f t="shared" si="1"/>
        <v>0.7083333333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4.25" customHeight="1">
      <c r="A14" s="34">
        <v>13.0</v>
      </c>
      <c r="B14" s="20" t="s">
        <v>28</v>
      </c>
      <c r="C14" s="35">
        <v>1.0</v>
      </c>
      <c r="D14" s="35">
        <v>2.0</v>
      </c>
      <c r="E14" s="35">
        <v>1.0</v>
      </c>
      <c r="F14" s="39">
        <f t="shared" si="1"/>
        <v>0.1666666667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4.25" customHeight="1">
      <c r="A15" s="34">
        <v>14.0</v>
      </c>
      <c r="B15" s="16" t="s">
        <v>29</v>
      </c>
      <c r="C15" s="38">
        <v>4.0</v>
      </c>
      <c r="D15" s="38">
        <v>7.0</v>
      </c>
      <c r="E15" s="38">
        <v>5.0</v>
      </c>
      <c r="F15" s="36">
        <f t="shared" si="1"/>
        <v>0.6666666667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4.25" customHeight="1">
      <c r="A16" s="34">
        <v>15.0</v>
      </c>
      <c r="B16" s="16" t="s">
        <v>30</v>
      </c>
      <c r="C16" s="35">
        <v>5.0</v>
      </c>
      <c r="D16" s="38">
        <v>10.0</v>
      </c>
      <c r="E16" s="35">
        <v>7.0</v>
      </c>
      <c r="F16" s="36">
        <f t="shared" si="1"/>
        <v>0.9166666667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4.25" customHeight="1">
      <c r="A17" s="34">
        <v>16.0</v>
      </c>
      <c r="B17" s="16" t="s">
        <v>31</v>
      </c>
      <c r="C17" s="35">
        <v>1.0</v>
      </c>
      <c r="D17" s="35">
        <v>6.0</v>
      </c>
      <c r="E17" s="35">
        <v>2.0</v>
      </c>
      <c r="F17" s="39">
        <f t="shared" si="1"/>
        <v>0.375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4.25" customHeight="1">
      <c r="A18" s="34">
        <v>17.0</v>
      </c>
      <c r="B18" s="16" t="s">
        <v>23</v>
      </c>
      <c r="C18" s="38">
        <v>5.0</v>
      </c>
      <c r="D18" s="38">
        <v>9.0</v>
      </c>
      <c r="E18" s="38">
        <v>5.0</v>
      </c>
      <c r="F18" s="36">
        <f t="shared" si="1"/>
        <v>0.7916666667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4.25" customHeight="1">
      <c r="A19" s="34">
        <v>18.0</v>
      </c>
      <c r="B19" s="16" t="s">
        <v>33</v>
      </c>
      <c r="C19" s="38">
        <v>5.0</v>
      </c>
      <c r="D19" s="38">
        <v>10.0</v>
      </c>
      <c r="E19" s="38">
        <v>6.0</v>
      </c>
      <c r="F19" s="36">
        <f t="shared" si="1"/>
        <v>0.875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4.25" customHeight="1">
      <c r="A20" s="34">
        <v>19.0</v>
      </c>
      <c r="B20" s="16" t="s">
        <v>34</v>
      </c>
      <c r="C20" s="35">
        <v>4.0</v>
      </c>
      <c r="D20" s="35">
        <v>10.0</v>
      </c>
      <c r="E20" s="35">
        <v>5.0</v>
      </c>
      <c r="F20" s="36">
        <f t="shared" si="1"/>
        <v>0.7916666667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4.25" customHeight="1">
      <c r="A21" s="34">
        <v>20.0</v>
      </c>
      <c r="B21" s="20" t="s">
        <v>35</v>
      </c>
      <c r="C21" s="35">
        <v>1.0</v>
      </c>
      <c r="D21" s="35">
        <v>3.0</v>
      </c>
      <c r="E21" s="35">
        <v>0.0</v>
      </c>
      <c r="F21" s="39">
        <f t="shared" si="1"/>
        <v>0.1666666667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4.25" customHeight="1">
      <c r="A22" s="41">
        <v>21.0</v>
      </c>
      <c r="B22" s="16" t="s">
        <v>36</v>
      </c>
      <c r="C22" s="38">
        <v>5.0</v>
      </c>
      <c r="D22" s="35">
        <v>10.0</v>
      </c>
      <c r="E22" s="35">
        <v>6.0</v>
      </c>
      <c r="F22" s="36">
        <f t="shared" si="1"/>
        <v>0.875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4.25" customHeight="1">
      <c r="A23" s="41">
        <v>22.0</v>
      </c>
      <c r="B23" s="16" t="s">
        <v>43</v>
      </c>
      <c r="C23" s="35">
        <v>4.0</v>
      </c>
      <c r="D23" s="35">
        <v>11.0</v>
      </c>
      <c r="E23" s="35">
        <v>6.0</v>
      </c>
      <c r="F23" s="36">
        <f t="shared" si="1"/>
        <v>0.875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4.25" customHeight="1">
      <c r="A24" s="41">
        <v>23.0</v>
      </c>
      <c r="B24" s="20" t="s">
        <v>38</v>
      </c>
      <c r="C24" s="38">
        <v>2.0</v>
      </c>
      <c r="D24" s="38">
        <v>3.0</v>
      </c>
      <c r="E24" s="38">
        <v>2.0</v>
      </c>
      <c r="F24" s="39">
        <f t="shared" si="1"/>
        <v>0.2916666667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4.25" customHeight="1">
      <c r="A25" s="41">
        <v>24.0</v>
      </c>
      <c r="B25" s="16" t="s">
        <v>39</v>
      </c>
      <c r="C25" s="35">
        <v>5.0</v>
      </c>
      <c r="D25" s="38">
        <v>6.0</v>
      </c>
      <c r="E25" s="38">
        <v>5.0</v>
      </c>
      <c r="F25" s="36">
        <f t="shared" si="1"/>
        <v>0.6666666667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4.25" customHeight="1">
      <c r="A26" s="41">
        <v>25.0</v>
      </c>
      <c r="B26" s="20" t="s">
        <v>40</v>
      </c>
      <c r="C26" s="35">
        <v>3.0</v>
      </c>
      <c r="D26" s="35">
        <v>9.0</v>
      </c>
      <c r="E26" s="35">
        <v>5.0</v>
      </c>
      <c r="F26" s="36">
        <f t="shared" si="1"/>
        <v>0.7083333333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4.25" customHeight="1">
      <c r="A27" s="41">
        <v>26.0</v>
      </c>
      <c r="B27" s="29" t="s">
        <v>41</v>
      </c>
      <c r="C27" s="35">
        <v>4.0</v>
      </c>
      <c r="D27" s="35">
        <v>11.0</v>
      </c>
      <c r="E27" s="35">
        <v>7.0</v>
      </c>
      <c r="F27" s="36">
        <f t="shared" si="1"/>
        <v>0.9166666667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4.25" customHeight="1">
      <c r="A28" s="41">
        <v>27.0</v>
      </c>
      <c r="B28" s="30" t="s">
        <v>42</v>
      </c>
      <c r="C28" s="35">
        <v>5.0</v>
      </c>
      <c r="D28" s="38">
        <v>8.0</v>
      </c>
      <c r="E28" s="35">
        <v>6.0</v>
      </c>
      <c r="F28" s="36">
        <f t="shared" si="1"/>
        <v>0.7916666667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4.25" customHeight="1">
      <c r="A29" s="41">
        <v>28.0</v>
      </c>
      <c r="B29" s="30" t="s">
        <v>37</v>
      </c>
      <c r="C29" s="35">
        <v>3.0</v>
      </c>
      <c r="D29" s="35">
        <v>9.0</v>
      </c>
      <c r="E29" s="35">
        <v>5.0</v>
      </c>
      <c r="F29" s="36">
        <f t="shared" si="1"/>
        <v>0.7083333333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4.25" customHeight="1">
      <c r="A30" s="34"/>
      <c r="B30" s="42" t="s">
        <v>7</v>
      </c>
      <c r="C30" s="36">
        <f>AVERAGE(C3:C27)/5</f>
        <v>0.696</v>
      </c>
      <c r="D30" s="36">
        <f>AVERAGE(D3:D27)/12</f>
        <v>0.65</v>
      </c>
      <c r="E30" s="36">
        <f>AVERAGE(E3:E27)/7</f>
        <v>0.64</v>
      </c>
      <c r="F30" s="35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4.2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4.2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4.2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4.2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4.2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4.2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4.2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4.2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4.2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4.2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4.2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4.2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4.2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4.2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4.2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4.2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4.2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4.2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4.2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4.2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4.2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4.2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4.2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4.2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4.2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4.2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4.2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4.2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4.2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4.2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4.2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4.2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4.2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4.2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4.2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4.2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4.2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4.2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4.2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4.2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4.2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4.2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4.2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4.2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4.2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4.2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4.2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4.2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4.2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4.2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4.2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4.2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4.2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4.2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4.2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4.2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4.2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4.2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4.2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4.2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4.2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4.2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4.2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4.2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4.2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4.2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4.2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4.2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4.2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4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4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4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4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4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4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4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4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4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4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4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4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4.2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4.2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4.2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4.2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4.2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4.2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4.2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4.2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4.2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4.2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4.2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4.2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4.2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4.2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4.2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4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4.2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4.2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4.2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4.2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4.2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4.2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4.2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4.2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4.2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4.2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4.2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4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4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4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4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4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4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4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4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4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4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4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4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4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4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4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4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4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4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4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4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4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4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4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4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4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4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4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4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4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4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4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4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4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4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4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4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4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4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4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4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4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4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4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4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4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4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4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4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4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4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4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4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4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4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4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4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4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4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4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4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4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4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4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4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4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4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4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4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4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4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4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4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4.2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4.2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4.2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4.2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4.2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4.2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4.2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4.2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4.2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4.2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4.2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4.2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4.2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4.2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4.2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4.2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4.2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4.2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4.2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4.2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4.2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4.2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4.2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4.2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4.2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4.2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4.2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4.2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4.2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4.2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4.2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4.2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4.2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4.2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4.2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4.2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4.2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4.2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4.2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4.2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4.2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4.2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4.2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4.2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4.2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4.2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4.2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4.2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4.2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4.2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4.2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4.2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4.2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4.2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4.2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4.2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4.2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4.2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4.2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4.2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4.2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4.2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4.2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4.2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4.2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4.2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4.2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4.2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4.2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4.2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4.2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4.2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4.2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4.2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4.2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4.2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4.2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4.2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4.2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4.2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4.2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4.2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4.2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4.2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4.2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4.2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4.2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4.2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4.2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4.2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4.2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4.2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4.2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4.2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4.2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4.2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4.2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4.2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4.2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4.2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4.2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4.2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4.2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4.2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4.2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4.2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4.2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4.2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4.2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4.2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4.2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4.2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4.2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4.2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4.2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4.2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4.2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4.2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4.2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4.2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4.2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4.2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4.2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4.2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4.2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4.2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4.2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4.2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4.2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4.2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4.2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4.2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4.2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4.2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4.2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4.2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4.2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4.2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4.2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4.2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4.2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4.2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4.2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4.2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4.2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4.2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4.2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4.2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4.2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4.2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4.2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4.2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4.2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4.2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4.2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4.2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4.2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4.2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4.2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4.2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4.2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4.2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4.2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4.2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4.2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4.2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4.2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4.2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4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4.2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4.2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4.2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4.2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4.2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4.2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4.2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4.2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4.2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4.2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4.2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4.2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4.2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4.2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4.2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4.2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4.2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4.2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4.2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4.2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4.2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4.2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4.2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4.2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4.2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4.2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4.2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4.2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4.2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4.2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4.2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4.2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4.2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4.2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4.2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4.2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4.2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4.2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4.2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4.2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4.2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4.2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4.2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4.2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4.2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4.2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4.2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4.2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4.2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4.2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4.2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4.2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4.2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4.2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4.2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4.2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4.2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4.2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4.2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4.2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4.2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4.2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4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4.2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4.2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4.2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4.2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4.2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4.2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4.2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4.2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4.2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4.2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4.2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4.2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4.2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4.2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4.2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4.2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4.2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4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4.2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4.2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4.2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4.2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4.2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4.2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4.2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4.2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4.2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4.2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4.2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4.2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4.2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4.2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4.2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4.2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4.2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4.2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4.2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4.2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4.2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4.2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4.2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4.2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4.2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4.2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4.2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4.2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4.2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4.2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4.2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4.2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4.2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4.2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4.2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4.2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4.2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4.2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4.2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4.2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4.2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4.2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4.2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4.2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4.2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4.2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4.2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4.2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4.2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4.2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4.2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4.2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4.2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4.2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4.2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4.2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4.2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4.2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4.2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4.2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4.2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4.2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4.2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4.2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4.2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4.2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4.2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4.2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4.2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4.2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4.2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4.2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4.2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4.2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4.2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4.2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4.2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4.2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4.2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4.2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4.2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4.2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4.2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4.2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4.2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4.2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4.2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4.2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4.2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4.2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4.2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4.2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4.2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4.2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4.2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4.2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4.2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4.2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4.2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4.2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4.2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4.2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4.2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4.2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4.2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4.2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4.2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4.2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4.2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4.2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4.2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4.2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4.2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4.2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4.2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4.2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4.2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4.2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4.2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4.2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4.2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4.2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4.2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4.2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4.2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4.2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4.2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4.2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4.2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4.2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4.2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4.2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4.2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4.2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4.2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4.2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4.2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4.2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4.2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4.2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4.2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4.2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4.2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4.2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4.2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4.2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4.2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4.2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4.2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4.2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4.2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4.2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4.2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4.2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4.2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4.2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4.2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4.2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4.2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4.2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4.2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4.2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4.2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4.2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4.2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4.2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4.2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4.2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4.2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4.2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4.2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4.2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4.2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4.2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4.2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4.2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4.2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4.2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4.2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4.2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4.2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4.2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4.2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4.2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4.2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4.2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4.2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4.2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4.2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4.2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4.2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4.2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4.2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4.2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4.2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4.2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4.2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4.2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4.2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4.2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4.2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4.2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4.2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4.2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4.2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4.2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4.2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4.2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4.2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4.2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4.2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4.2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4.2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4.2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4.2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4.2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4.2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4.2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4.2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4.2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4.2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4.2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4.2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4.2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4.2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4.2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4.2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4.2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4.2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4.2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4.2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4.2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4.2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4.2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4.2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4.2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4.2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4.2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4.2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4.2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4.2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4.2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4.2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4.2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4.2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4.2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4.2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4.2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4.2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4.2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4.2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4.2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4.2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4.2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4.2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4.2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4.2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4.2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4.2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4.2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4.2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4.2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4.2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4.2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4.2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4.2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4.2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4.2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4.2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4.2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4.2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4.2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4.2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4.2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4.2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4.2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4.2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4.2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4.2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4.2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4.2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4.2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4.2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4.2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4.2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4.2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4.2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4.2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4.2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4.2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4.2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4.2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4.2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4.2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4.2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4.2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4.2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4.2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4.2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4.2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4.2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4.2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4.2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4.2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4.2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4.2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4.2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4.2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4.2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4.2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4.2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4.2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4.2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4.2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4.2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4.2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4.2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4.2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4.2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4.2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4.2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4.2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4.2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4.2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4.2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4.2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4.2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4.2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4.2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4.2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4.2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4.2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4.2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4.2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4.2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4.2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4.2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4.2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4.2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4.2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4.2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4.2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4.2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4.2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4.2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4.2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4.2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4.2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4.2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4.2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4.2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4.2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4.2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4.2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4.2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4.2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4.2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4.2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4.2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4.2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4.2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4.2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4.2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4.2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4.2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4.2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4.2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4.2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4.2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4.2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4.2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4.2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4.2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4.2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4.2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4.2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4.2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4.2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4.2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4.2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4.2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4.2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4.2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4.2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4.2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4.2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4.2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4.2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4.2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4.2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4.2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4.2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4.2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4.2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4.2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4.2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4.2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4.2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4.2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4.2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4.2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4.2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4.2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4.2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4.2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4.2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4.2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4.2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4.2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4.2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4.2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4.2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4.2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4.2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4.2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4.2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4.2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4.2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4.2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4.2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4.2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4.2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4.2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4.2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4.2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4.2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4.2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4.2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4.2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4.2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4.2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4.2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4.2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4.2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4.2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4.2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4.2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4.2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4.2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4.2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4.2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4.2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4.2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4.2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4.2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4.2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4.2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4.2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4.2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4.2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4.2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4.2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4.2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4.2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4.2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4.2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4.2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4.2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4.2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4.2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4.2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4.2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4.2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4.2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4.2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4.2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4.2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4.2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4.2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4.2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4.2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4.2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4.2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4.2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4.2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4.2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4.2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4.2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4.2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4.2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4.2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4.2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4.2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4.2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4.2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4.2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4.2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4.2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4.2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4.2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4.2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4.2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4.2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4.2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4.2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4.2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4.2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4.2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4.2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4.2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4.2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4.2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4.2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4.2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4.2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4.2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4.2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4.2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4.2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4.2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4.2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4.2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4.2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4.2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4.2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4.2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4.2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4.2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4.2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4.2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4.2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4.2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4.2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4.2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4.2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4.2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4.2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4.2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4.2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4.2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4.2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4.2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4.2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4.2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4.2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4.2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4.2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4.2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4.2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4.2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ht="14.25" customHeight="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ht="14.25" customHeight="1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 ht="14.25" customHeight="1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 ht="14.25" customHeight="1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</sheetData>
  <conditionalFormatting sqref="E30">
    <cfRule type="cellIs" dxfId="0" priority="1" operator="lessThan">
      <formula>0.8</formula>
    </cfRule>
  </conditionalFormatting>
  <conditionalFormatting sqref="C30">
    <cfRule type="cellIs" dxfId="0" priority="2" operator="lessThan">
      <formula>0.8</formula>
    </cfRule>
  </conditionalFormatting>
  <printOptions/>
  <pageMargins bottom="0.75" footer="0.0" header="0.0" left="0.7" right="0.7" top="0.75"/>
  <pageSetup orientation="landscape"/>
  <drawing r:id="rId1"/>
</worksheet>
</file>